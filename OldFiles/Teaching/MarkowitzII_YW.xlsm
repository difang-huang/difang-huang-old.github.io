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120" yWindow="120" windowWidth="12120" windowHeight="8025" activeTab="1"/>
  </bookViews>
  <sheets>
    <sheet name="Data" sheetId="5" r:id="rId1"/>
    <sheet name="Main" sheetId="1" r:id="rId2"/>
    <sheet name="Construct_and_FillIn" sheetId="2" state="veryHidden" r:id=""/>
    <sheet name="MatrixFunctions" sheetId="3" state="veryHidden" r:id=""/>
    <sheet name="Calculate" sheetId="4" state="veryHidden" r:id=""/>
  </sheets>
  <functionGroups builtInGroupCount="17"/>
  <definedNames>
    <definedName name="_xlnm.Print_Area" localSheetId="1">Main!$A$2:$J$25</definedName>
    <definedName name="solver_adj" localSheetId="1" hidden="1">Main!$C$8:$C$11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Main!$C$12</definedName>
    <definedName name="solver_lhs2" localSheetId="1" hidden="1">Main!$D$17</definedName>
    <definedName name="solver_lhs3" localSheetId="1" hidden="1">Main!$D$17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1</definedName>
    <definedName name="solver_nwt" localSheetId="1" hidden="1">1</definedName>
    <definedName name="solver_opt" localSheetId="1" hidden="1">Main!$C$23</definedName>
    <definedName name="solver_pre" localSheetId="1" hidden="1">0.000001</definedName>
    <definedName name="solver_rbv" localSheetId="1" hidden="1">1</definedName>
    <definedName name="solver_rel1" localSheetId="1" hidden="1">2</definedName>
    <definedName name="solver_rel2" localSheetId="1" hidden="1">2</definedName>
    <definedName name="solver_rel3" localSheetId="1" hidden="1">2</definedName>
    <definedName name="solver_rhs1" localSheetId="1" hidden="1">1</definedName>
    <definedName name="solver_rhs2" localSheetId="1" hidden="1">0.1</definedName>
    <definedName name="solver_rhs3" localSheetId="1" hidden="1">Main!$C$28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5621" iterateDelta="9.9999999999994451E-4"/>
</workbook>
</file>

<file path=xl/calcChain.xml><?xml version="1.0" encoding="utf-8"?>
<calcChain xmlns="http://schemas.openxmlformats.org/spreadsheetml/2006/main">
  <c r="A18" i="1" l="1"/>
  <c r="A17" i="1"/>
  <c r="D17" i="1"/>
  <c r="C12" i="1"/>
  <c r="I12" i="1"/>
  <c r="D18" i="1"/>
  <c r="C23" i="1" l="1"/>
  <c r="I23" i="1"/>
</calcChain>
</file>

<file path=xl/sharedStrings.xml><?xml version="1.0" encoding="utf-8"?>
<sst xmlns="http://schemas.openxmlformats.org/spreadsheetml/2006/main" count="40" uniqueCount="32">
  <si>
    <t>Number of securities:</t>
  </si>
  <si>
    <t>No</t>
  </si>
  <si>
    <t>Name</t>
  </si>
  <si>
    <t>Expected</t>
  </si>
  <si>
    <t>Standard</t>
  </si>
  <si>
    <t>Return</t>
  </si>
  <si>
    <t>Deviation</t>
  </si>
  <si>
    <t>Fraction</t>
  </si>
  <si>
    <t>Correlations</t>
  </si>
  <si>
    <t>Portfolio's Expected Return</t>
  </si>
  <si>
    <t>Portfolio's Standard Deviation</t>
  </si>
  <si>
    <t>Risk Free Rate</t>
  </si>
  <si>
    <t>Slope of CAL</t>
  </si>
  <si>
    <t>Weight on optimal risky portfolio: x*=</t>
  </si>
  <si>
    <t>Risk Aversion Coefficient: A=</t>
  </si>
  <si>
    <t>Tracking Error Std. Dev.</t>
  </si>
  <si>
    <t xml:space="preserve"> </t>
  </si>
  <si>
    <t>Expected Tracking Error</t>
    <phoneticPr fontId="0" type="noConversion"/>
  </si>
  <si>
    <t>Corr OK?</t>
  </si>
  <si>
    <t>Results:</t>
  </si>
  <si>
    <t>Asset</t>
  </si>
  <si>
    <t>A</t>
  </si>
  <si>
    <t>B</t>
  </si>
  <si>
    <t>C</t>
  </si>
  <si>
    <t>E[r]</t>
  </si>
  <si>
    <t>Stdev[r]</t>
  </si>
  <si>
    <t>Assets</t>
  </si>
  <si>
    <t>Rf</t>
  </si>
  <si>
    <t>a</t>
  </si>
  <si>
    <t>b</t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</si>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</sst>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"/>
    <numFmt numFmtId="166" formatCode="0.000"/>
    <numFmt numFmtId="167" formatCode="0.0%"/>
  </numFmts>
  <fonts count="9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8"/>
      <color indexed="8"/>
      <name val="Arial Narrow"/>
      <family val="2"/>
    </font>
    <font>
      <b/>
      <sz val="9"/>
      <name val="Arial"/>
      <family val="2"/>
    </font>
    <font>
      <sz val="10"/>
      <color indexed="22"/>
      <name val="Arial"/>
      <family val="2"/>
    </font>
    <font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8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3">
    <xf numFmtId="0" fontId="0" fillId="0" borderId="0" xfId="0"/>
    <xf numFmtId="0" fontId="0" fillId="2" borderId="0" xfId="0" applyFill="1"/>
    <xf numFmtId="0" fontId="2" fillId="2" borderId="0" xfId="0" applyFont="1" applyFill="1" applyBorder="1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/>
    <xf numFmtId="2" fontId="0" fillId="2" borderId="0" xfId="0" applyNumberFormat="1" applyFill="1" applyBorder="1"/>
    <xf numFmtId="0" fontId="0" fillId="2" borderId="1" xfId="0" applyFill="1" applyBorder="1"/>
    <xf numFmtId="166" fontId="0" fillId="2" borderId="0" xfId="1" applyNumberFormat="1" applyFont="1" applyFill="1" applyBorder="1"/>
    <xf numFmtId="0" fontId="2" fillId="2" borderId="0" xfId="0" applyFont="1" applyFill="1"/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2" fontId="3" fillId="2" borderId="0" xfId="0" applyNumberFormat="1" applyFont="1" applyFill="1" applyBorder="1" applyAlignment="1"/>
    <xf numFmtId="2" fontId="0" fillId="2" borderId="0" xfId="0" applyNumberFormat="1" applyFill="1"/>
    <xf numFmtId="0" fontId="2" fillId="2" borderId="3" xfId="0" applyFont="1" applyFill="1" applyBorder="1"/>
    <xf numFmtId="0" fontId="0" fillId="2" borderId="4" xfId="0" applyFill="1" applyBorder="1"/>
    <xf numFmtId="0" fontId="0" fillId="2" borderId="5" xfId="0" applyFill="1" applyBorder="1"/>
    <xf numFmtId="164" fontId="0" fillId="2" borderId="6" xfId="0" applyNumberFormat="1" applyFill="1" applyBorder="1"/>
    <xf numFmtId="164" fontId="0" fillId="2" borderId="7" xfId="0" applyNumberFormat="1" applyFill="1" applyBorder="1"/>
    <xf numFmtId="0" fontId="0" fillId="3" borderId="6" xfId="0" applyFill="1" applyBorder="1"/>
    <xf numFmtId="2" fontId="0" fillId="3" borderId="7" xfId="0" applyNumberFormat="1" applyFill="1" applyBorder="1"/>
    <xf numFmtId="0" fontId="7" fillId="2" borderId="0" xfId="0" applyFont="1" applyFill="1"/>
    <xf numFmtId="10" fontId="0" fillId="2" borderId="7" xfId="0" applyNumberFormat="1" applyFill="1" applyBorder="1"/>
    <xf numFmtId="0" fontId="0" fillId="2" borderId="8" xfId="0" applyFill="1" applyBorder="1"/>
    <xf numFmtId="0" fontId="0" fillId="2" borderId="8" xfId="0" applyFill="1" applyBorder="1" applyAlignment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165" fontId="0" fillId="0" borderId="0" xfId="0" applyNumberFormat="1" applyAlignment="1">
      <alignment horizontal="center"/>
    </xf>
    <xf numFmtId="167" fontId="0" fillId="0" borderId="0" xfId="1" applyNumberFormat="1" applyFont="1" applyAlignment="1">
      <alignment horizontal="center"/>
    </xf>
    <xf numFmtId="10" fontId="4" fillId="3" borderId="7" xfId="1" applyNumberFormat="1" applyFont="1" applyFill="1" applyBorder="1"/>
    <xf numFmtId="10" fontId="0" fillId="2" borderId="0" xfId="1" applyNumberFormat="1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9" xfId="0" applyFont="1" applyFill="1" applyBorder="1" applyAlignment="1">
      <alignment horizontal="center"/>
    </xf>
    <xf numFmtId="10" fontId="0" fillId="3" borderId="10" xfId="1" applyNumberFormat="1" applyFont="1" applyFill="1" applyBorder="1" applyAlignment="1">
      <alignment horizontal="center"/>
    </xf>
    <xf numFmtId="9" fontId="0" fillId="3" borderId="10" xfId="1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0" fillId="2" borderId="11" xfId="0" applyFill="1" applyBorder="1"/>
    <xf numFmtId="165" fontId="0" fillId="2" borderId="11" xfId="0" applyNumberFormat="1" applyFill="1" applyBorder="1" applyAlignment="1">
      <alignment horizontal="center"/>
    </xf>
    <xf numFmtId="165" fontId="0" fillId="3" borderId="11" xfId="0" applyNumberForma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1209675</xdr:colOff>
      <xdr:row>0</xdr:row>
      <xdr:rowOff>161925</xdr:rowOff>
    </xdr:from>
    <xdr:to>
      <xdr:col>9</xdr:col>
      <xdr:colOff>514350</xdr:colOff>
      <xdr:row>0</xdr:row>
      <xdr:rowOff>561975</xdr:rowOff>
    </xdr:to>
    <xdr:sp macro="" textlink="">
      <xdr:nvSpPr>
        <xdr:cNvPr id="1028" name="WordArt 4"/>
        <xdr:cNvSpPr>
          <a:spLocks noChangeArrowheads="1" noChangeShapeType="1" noTextEdit="1"/>
        </xdr:cNvSpPr>
      </xdr:nvSpPr>
      <xdr:spPr bwMode="auto">
        <a:xfrm>
          <a:off x="1323975" y="161925"/>
          <a:ext cx="4600575" cy="4000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1800" b="1" kern="10" spc="0">
              <a:ln w="9525">
                <a:noFill/>
                <a:round/>
                <a:headEnd/>
                <a:tailEnd/>
              </a:ln>
              <a:gradFill rotWithShape="0">
                <a:gsLst>
                  <a:gs pos="0">
                    <a:srgbClr val="8488C4"/>
                  </a:gs>
                  <a:gs pos="53000">
                    <a:srgbClr val="D4DEFF"/>
                  </a:gs>
                  <a:gs pos="83000">
                    <a:srgbClr val="D4DEFF"/>
                  </a:gs>
                  <a:gs pos="100000">
                    <a:srgbClr val="96AB94"/>
                  </a:gs>
                </a:gsLst>
                <a:lin ang="5400000" scaled="1"/>
              </a:gradFill>
              <a:effectLst>
                <a:outerShdw dist="45791" dir="3378596" algn="ctr" rotWithShape="0">
                  <a:srgbClr val="4D4D4D"/>
                </a:outerShdw>
              </a:effectLst>
              <a:latin typeface="Bookman Old Style"/>
            </a:rPr>
            <a:t>The Markowitz Portfolio Selection Model II</a:t>
          </a:r>
        </a:p>
      </xdr:txBody>
    </xdr:sp>
    <xdr:clientData/>
  </xdr:twoCellAnchor>
  <xdr:twoCellAnchor>
    <xdr:from>
      <xdr:col>2</xdr:col>
      <xdr:colOff>209550</xdr:colOff>
      <xdr:row>0</xdr:row>
      <xdr:rowOff>619125</xdr:rowOff>
    </xdr:from>
    <xdr:to>
      <xdr:col>9</xdr:col>
      <xdr:colOff>266700</xdr:colOff>
      <xdr:row>0</xdr:row>
      <xdr:rowOff>819150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1533525" y="619125"/>
          <a:ext cx="4143375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800" b="0" i="1" u="none" strike="noStrike" baseline="0">
              <a:solidFill>
                <a:srgbClr val="3366FF"/>
              </a:solidFill>
              <a:latin typeface="Arial"/>
              <a:cs typeface="Arial"/>
            </a:rPr>
            <a:t>© Ravi Jagannathan, Kellogg School of Management, NU, 1999-2001, Rev Fall 2004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142875</xdr:rowOff>
        </xdr:from>
        <xdr:to>
          <xdr:col>6</xdr:col>
          <xdr:colOff>19050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Construct Tables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133350</xdr:rowOff>
        </xdr:from>
        <xdr:to>
          <xdr:col>9</xdr:col>
          <xdr:colOff>295275</xdr:colOff>
          <xdr:row>3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In Names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9:H19"/>
  <sheetViews>
    <sheetView workbookViewId="0">
      <selection activeCell="D16" sqref="D16:F18"/>
    </sheetView>
  </sheetViews>
  <sheetFormatPr defaultRowHeight="12.75" x14ac:dyDescent="0.2"/>
  <sheetData>
    <row r="9" spans="3:8" x14ac:dyDescent="0.2">
      <c r="C9" s="25" t="s">
        <v>20</v>
      </c>
      <c r="D9" s="25" t="s">
        <v>24</v>
      </c>
      <c r="E9" s="25" t="s">
        <v>25</v>
      </c>
    </row>
    <row r="10" spans="3:8" x14ac:dyDescent="0.2">
      <c r="C10" s="25" t="s">
        <v>21</v>
      </c>
      <c r="D10" s="26">
        <v>0.05</v>
      </c>
      <c r="E10" s="26">
        <v>0.1</v>
      </c>
      <c r="G10" s="25" t="s">
        <v>27</v>
      </c>
      <c r="H10" s="28">
        <v>3.5000000000000003E-2</v>
      </c>
    </row>
    <row r="11" spans="3:8" x14ac:dyDescent="0.2">
      <c r="C11" s="25" t="s">
        <v>22</v>
      </c>
      <c r="D11" s="26">
        <v>0.1</v>
      </c>
      <c r="E11" s="26">
        <v>0.2</v>
      </c>
    </row>
    <row r="12" spans="3:8" x14ac:dyDescent="0.2">
      <c r="C12" s="25" t="s">
        <v>23</v>
      </c>
      <c r="D12" s="26">
        <v>0.15</v>
      </c>
      <c r="E12" s="26">
        <v>0.3</v>
      </c>
    </row>
    <row r="14" spans="3:8" x14ac:dyDescent="0.2">
      <c r="C14" s="25" t="s">
        <v>8</v>
      </c>
    </row>
    <row r="15" spans="3:8" x14ac:dyDescent="0.2">
      <c r="C15" s="25" t="s">
        <v>26</v>
      </c>
      <c r="D15" s="25" t="s">
        <v>21</v>
      </c>
      <c r="E15" s="25" t="s">
        <v>22</v>
      </c>
      <c r="F15" s="25" t="s">
        <v>23</v>
      </c>
    </row>
    <row r="16" spans="3:8" x14ac:dyDescent="0.2">
      <c r="C16" s="25" t="s">
        <v>21</v>
      </c>
      <c r="D16" s="27">
        <v>1</v>
      </c>
      <c r="E16" s="27">
        <v>0</v>
      </c>
      <c r="F16" s="27">
        <v>0.5</v>
      </c>
    </row>
    <row r="17" spans="3:6" x14ac:dyDescent="0.2">
      <c r="C17" s="25" t="s">
        <v>22</v>
      </c>
      <c r="D17" s="27">
        <v>0</v>
      </c>
      <c r="E17" s="27">
        <v>1</v>
      </c>
      <c r="F17" s="27">
        <v>0.5</v>
      </c>
    </row>
    <row r="18" spans="3:6" x14ac:dyDescent="0.2">
      <c r="C18" s="25" t="s">
        <v>23</v>
      </c>
      <c r="D18" s="27">
        <v>0.5</v>
      </c>
      <c r="E18" s="27">
        <v>0.5</v>
      </c>
      <c r="F18" s="27">
        <v>1</v>
      </c>
    </row>
    <row r="19" spans="3:6" x14ac:dyDescent="0.2">
      <c r="C19" s="25"/>
    </row>
  </sheetData>
  <phoneticPr fontId="8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58"/>
  <sheetViews>
    <sheetView tabSelected="1" workbookViewId="0">
      <selection activeCell="K16" sqref="K16"/>
    </sheetView>
  </sheetViews>
  <sheetFormatPr defaultRowHeight="12.75" x14ac:dyDescent="0.2"/>
  <cols>
    <col min="1" max="1" width="4" customWidth="1"/>
    <col min="2" max="2" width="15.85546875" customWidth="1"/>
    <col min="3" max="3" width="11.5703125" bestFit="1" customWidth="1"/>
    <col min="7" max="7" width="4" customWidth="1"/>
  </cols>
  <sheetData>
    <row r="1" spans="1:26" ht="69.75" customHeight="1" x14ac:dyDescent="0.35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</row>
    <row r="2" spans="1:26" x14ac:dyDescent="0.2">
      <c r="A2" s="21" t="s">
        <v>9</v>
      </c>
      <c r="B2" s="21" t="s">
        <v>17</v>
      </c>
      <c r="C2" s="21" t="s">
        <v>10</v>
      </c>
      <c r="D2" s="21" t="s">
        <v>15</v>
      </c>
      <c r="E2" s="2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">
      <c r="A3" s="8" t="s">
        <v>0</v>
      </c>
      <c r="B3" s="1"/>
      <c r="C3" s="19">
        <v>4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3"/>
    </row>
    <row r="5" spans="1:26" x14ac:dyDescent="0.2">
      <c r="A5" s="1"/>
      <c r="B5" s="1"/>
      <c r="C5" s="1"/>
      <c r="D5" s="1"/>
      <c r="E5" s="1"/>
      <c r="F5" s="1"/>
      <c r="G5" s="1"/>
      <c r="H5" s="1"/>
      <c r="I5" s="3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3"/>
    </row>
    <row r="6" spans="1:26" x14ac:dyDescent="0.2">
      <c r="A6" s="9" t="s">
        <v>1</v>
      </c>
      <c r="B6" s="9" t="s">
        <v>2</v>
      </c>
      <c r="C6" s="9" t="s">
        <v>7</v>
      </c>
      <c r="D6" s="9" t="s">
        <v>3</v>
      </c>
      <c r="E6" s="9" t="s">
        <v>4</v>
      </c>
      <c r="F6" s="1"/>
      <c r="G6" s="10" t="s">
        <v>8</v>
      </c>
      <c r="H6" s="3"/>
      <c r="I6" s="9">
        <v>1</v>
      </c>
      <c r="J6" s="9">
        <v>2</v>
      </c>
      <c r="K6" s="9">
        <v>3</v>
      </c>
      <c r="L6" s="9">
        <v>4</v>
      </c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11"/>
      <c r="B7" s="6"/>
      <c r="C7" s="11"/>
      <c r="D7" s="11" t="s">
        <v>5</v>
      </c>
      <c r="E7" s="11" t="s">
        <v>6</v>
      </c>
      <c r="F7" s="3"/>
      <c r="G7" s="3"/>
      <c r="H7" s="3"/>
      <c r="I7" s="23"/>
      <c r="J7" s="24"/>
      <c r="K7" s="24"/>
      <c r="L7" s="2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x14ac:dyDescent="0.2">
      <c r="A8" s="31">
        <v>1</v>
      </c>
      <c r="B8" s="37" t="s">
        <v>28</v>
      </c>
      <c r="C8" s="37">
        <v>0.51242199956014434</v>
      </c>
      <c r="D8" s="38">
        <v>0.05</v>
      </c>
      <c r="E8" s="38">
        <v>0.1</v>
      </c>
      <c r="F8" s="3"/>
      <c r="G8" s="39">
        <v>1</v>
      </c>
      <c r="H8" s="40"/>
      <c r="I8" s="41">
        <v>1</v>
      </c>
      <c r="J8" s="42">
        <v>0</v>
      </c>
      <c r="K8" s="42">
        <v>0.5</v>
      </c>
      <c r="L8" s="42">
        <v>0.5</v>
      </c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x14ac:dyDescent="0.2">
      <c r="A9" s="31">
        <v>2</v>
      </c>
      <c r="B9" s="37" t="s">
        <v>29</v>
      </c>
      <c r="C9" s="37">
        <v>0.47175674560618763</v>
      </c>
      <c r="D9" s="38">
        <v>0.1</v>
      </c>
      <c r="E9" s="38">
        <v>0.2</v>
      </c>
      <c r="F9" s="3"/>
      <c r="G9" s="39">
        <v>2</v>
      </c>
      <c r="H9" s="40"/>
      <c r="I9" s="41"/>
      <c r="J9" s="41">
        <v>1</v>
      </c>
      <c r="K9" s="42">
        <v>0.5</v>
      </c>
      <c r="L9" s="42">
        <v>0.5</v>
      </c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x14ac:dyDescent="0.2">
      <c r="A10" s="31">
        <v>3</v>
      </c>
      <c r="B10" s="37" t="s">
        <v>30</v>
      </c>
      <c r="C10" s="37">
        <v>0.23911573414517598</v>
      </c>
      <c r="D10" s="38">
        <v>0.15</v>
      </c>
      <c r="E10" s="38">
        <v>0.3</v>
      </c>
      <c r="F10" s="3"/>
      <c r="G10" s="39">
        <v>3</v>
      </c>
      <c r="H10" s="40"/>
      <c r="I10" s="41"/>
      <c r="J10" s="41"/>
      <c r="K10" s="41">
        <v>1</v>
      </c>
      <c r="L10" s="42">
        <v>0.5</v>
      </c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x14ac:dyDescent="0.2">
      <c r="A11" s="31">
        <v>4</v>
      </c>
      <c r="B11" s="37" t="s">
        <v>31</v>
      </c>
      <c r="C11" s="37">
        <v>-0.22329447931150778</v>
      </c>
      <c r="D11" s="38">
        <v>0.05</v>
      </c>
      <c r="E11" s="38">
        <v>0.45</v>
      </c>
      <c r="F11" s="3"/>
      <c r="G11" s="39">
        <v>4</v>
      </c>
      <c r="H11" s="40"/>
      <c r="I11" s="41"/>
      <c r="J11" s="41"/>
      <c r="K11" s="41"/>
      <c r="L11" s="40">
        <v>1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x14ac:dyDescent="0.2">
      <c r="A12" s="2"/>
      <c r="B12" s="30"/>
      <c r="C12" s="30">
        <f>SUM(C8:C11)</f>
        <v>1.0000000000000002</v>
      </c>
      <c r="D12" s="7"/>
      <c r="E12" s="7"/>
      <c r="F12" s="3"/>
      <c r="G12" s="2"/>
      <c r="H12" s="3" t="s">
        <v>18</v>
      </c>
      <c r="I12" s="3" t="str">
        <f>IF($C$3&gt;2,IF(IsCorrelationMatrixConsistent(J8:L10),"YES","NO"),"YES")</f>
        <v>YES</v>
      </c>
      <c r="J12" s="4"/>
      <c r="K12" s="4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x14ac:dyDescent="0.2">
      <c r="A13" s="2"/>
      <c r="B13" s="3"/>
      <c r="C13" s="3"/>
      <c r="D13" s="7"/>
      <c r="E13" s="7"/>
      <c r="F13" s="3"/>
      <c r="G13" s="2"/>
      <c r="H13" s="3"/>
      <c r="I13" s="5"/>
      <c r="J13" s="5"/>
      <c r="K13" s="5"/>
      <c r="L13" s="5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x14ac:dyDescent="0.2">
      <c r="A14" s="3"/>
      <c r="B14" s="3"/>
      <c r="C14" s="12"/>
      <c r="D14" s="3"/>
      <c r="E14" s="3"/>
      <c r="F14" s="3"/>
      <c r="G14" s="3"/>
      <c r="H14" s="3"/>
      <c r="I14" s="3"/>
      <c r="J14" s="3"/>
      <c r="K14" s="4"/>
      <c r="L14" s="3"/>
      <c r="M14" s="3"/>
      <c r="N14" s="3"/>
      <c r="O14" s="3"/>
      <c r="P14" s="3"/>
      <c r="Q14" s="3"/>
      <c r="R14" s="3"/>
      <c r="S14" s="3"/>
      <c r="T14" s="3"/>
      <c r="U14" s="1"/>
      <c r="V14" s="1"/>
      <c r="W14" s="1"/>
      <c r="X14" s="1"/>
      <c r="Y14" s="1"/>
      <c r="Z14" s="1"/>
    </row>
    <row r="15" spans="1:26" x14ac:dyDescent="0.2">
      <c r="A15" s="8" t="s">
        <v>19</v>
      </c>
      <c r="B15" s="1"/>
      <c r="C15" s="1"/>
      <c r="D15" s="1" t="s">
        <v>16</v>
      </c>
      <c r="E15" s="1"/>
      <c r="F15" s="1"/>
      <c r="G15" s="1"/>
      <c r="H15" s="1"/>
      <c r="I15" s="1"/>
      <c r="J15" s="1"/>
      <c r="K15" s="1"/>
      <c r="L15" s="1"/>
      <c r="M15" s="1"/>
      <c r="N15" s="3"/>
      <c r="O15" s="3"/>
      <c r="P15" s="3"/>
      <c r="Q15" s="3"/>
      <c r="R15" s="3"/>
      <c r="S15" s="3"/>
      <c r="T15" s="3"/>
      <c r="U15" s="1"/>
      <c r="V15" s="1"/>
      <c r="W15" s="1"/>
      <c r="X15" s="1"/>
      <c r="Y15" s="1"/>
      <c r="Z15" s="1"/>
    </row>
    <row r="16" spans="1:26" x14ac:dyDescent="0.2">
      <c r="A16" s="1"/>
      <c r="B16" s="1"/>
      <c r="C16" s="1"/>
      <c r="D16" s="13" t="s">
        <v>16</v>
      </c>
      <c r="E16" s="1"/>
      <c r="F16" s="1"/>
      <c r="G16" s="1"/>
      <c r="H16" s="1"/>
      <c r="I16" s="1"/>
      <c r="J16" s="1"/>
      <c r="K16" s="1"/>
      <c r="L16" s="1"/>
      <c r="M16" s="1"/>
      <c r="N16" s="3"/>
      <c r="O16" s="3"/>
      <c r="P16" s="3"/>
      <c r="Q16" s="3"/>
      <c r="R16" s="3"/>
      <c r="S16" s="3"/>
      <c r="T16" s="3"/>
      <c r="U16" s="1"/>
      <c r="V16" s="1"/>
      <c r="W16" s="1"/>
      <c r="X16" s="1"/>
      <c r="Y16" s="1"/>
      <c r="Z16" s="1"/>
    </row>
    <row r="17" spans="1:26" x14ac:dyDescent="0.2">
      <c r="A17" s="14" t="str">
        <f>IF(C11=-1,B2,A2)</f>
        <v>Portfolio's Expected Return</v>
      </c>
      <c r="B17" s="15"/>
      <c r="C17" s="16"/>
      <c r="D17" s="17">
        <f>SUMPRODUCT(C8:C11,D8:D11)</f>
        <v>9.7499410694826996E-2</v>
      </c>
      <c r="E17" s="1"/>
      <c r="F17" s="1"/>
      <c r="G17" s="1"/>
      <c r="H17" s="1"/>
      <c r="I17" s="1"/>
      <c r="J17" s="1"/>
      <c r="K17" s="1"/>
      <c r="L17" s="1"/>
      <c r="M17" s="1"/>
      <c r="N17" s="3"/>
      <c r="O17" s="3"/>
      <c r="P17" s="3"/>
      <c r="Q17" s="3"/>
      <c r="R17" s="3"/>
      <c r="S17" s="3"/>
      <c r="T17" s="3"/>
      <c r="U17" s="1"/>
      <c r="V17" s="1"/>
      <c r="W17" s="1"/>
      <c r="X17" s="1"/>
      <c r="Y17" s="1"/>
      <c r="Z17" s="1"/>
    </row>
    <row r="18" spans="1:26" x14ac:dyDescent="0.2">
      <c r="A18" s="14" t="str">
        <f>IF(C11=-1,D2,C2)</f>
        <v>Portfolio's Standard Deviation</v>
      </c>
      <c r="B18" s="15"/>
      <c r="C18" s="16"/>
      <c r="D18" s="17">
        <f>PortfolioStandardDeviation(C3,C8:C11,E8:E11,J8:L10)</f>
        <v>0.12400390100941626</v>
      </c>
      <c r="E18" s="1"/>
      <c r="F18" s="1"/>
      <c r="G18" s="1"/>
      <c r="H18" s="1"/>
      <c r="I18" s="1"/>
      <c r="J18" s="1"/>
      <c r="K18" s="1"/>
      <c r="L18" s="1"/>
      <c r="M18" s="1"/>
      <c r="N18" s="3"/>
      <c r="O18" s="3"/>
      <c r="P18" s="3"/>
      <c r="Q18" s="3"/>
      <c r="R18" s="3"/>
      <c r="S18" s="3"/>
      <c r="T18" s="3"/>
      <c r="U18" s="1"/>
      <c r="V18" s="1"/>
      <c r="W18" s="1"/>
      <c r="X18" s="1"/>
      <c r="Y18" s="1"/>
      <c r="Z18" s="1"/>
    </row>
    <row r="19" spans="1:26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3"/>
      <c r="O19" s="3"/>
      <c r="P19" s="3"/>
      <c r="Q19" s="3"/>
      <c r="R19" s="3"/>
      <c r="S19" s="3"/>
      <c r="T19" s="3"/>
      <c r="U19" s="1"/>
      <c r="V19" s="1"/>
      <c r="W19" s="1"/>
      <c r="X19" s="1"/>
      <c r="Y19" s="1"/>
      <c r="Z19" s="1"/>
    </row>
    <row r="20" spans="1:26" ht="13.5" thickBo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3"/>
      <c r="O20" s="3"/>
      <c r="P20" s="3"/>
      <c r="Q20" s="3"/>
      <c r="R20" s="3"/>
      <c r="S20" s="3"/>
      <c r="T20" s="3"/>
      <c r="U20" s="1"/>
      <c r="V20" s="1"/>
      <c r="W20" s="1"/>
      <c r="X20" s="1"/>
      <c r="Y20" s="1"/>
      <c r="Z20" s="1"/>
    </row>
    <row r="21" spans="1:26" ht="13.5" thickBot="1" x14ac:dyDescent="0.25">
      <c r="A21" s="33" t="s">
        <v>11</v>
      </c>
      <c r="B21" s="34"/>
      <c r="C21" s="29">
        <v>3.5000000000000003E-2</v>
      </c>
      <c r="D21" s="1"/>
      <c r="E21" s="33" t="s">
        <v>14</v>
      </c>
      <c r="F21" s="33"/>
      <c r="G21" s="33"/>
      <c r="H21" s="34"/>
      <c r="I21" s="20">
        <v>10</v>
      </c>
      <c r="J21" s="1"/>
      <c r="K21" s="1"/>
      <c r="L21" s="1"/>
      <c r="M21" s="1"/>
      <c r="N21" s="3"/>
      <c r="O21" s="3"/>
      <c r="P21" s="3"/>
      <c r="Q21" s="3"/>
      <c r="R21" s="3"/>
      <c r="S21" s="3"/>
      <c r="T21" s="3"/>
      <c r="U21" s="1"/>
      <c r="V21" s="1"/>
      <c r="W21" s="1"/>
      <c r="X21" s="1"/>
      <c r="Y21" s="1"/>
      <c r="Z21" s="1"/>
    </row>
    <row r="22" spans="1:26" ht="13.5" thickBo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3"/>
      <c r="O22" s="3"/>
      <c r="P22" s="3"/>
      <c r="Q22" s="3"/>
      <c r="R22" s="3"/>
      <c r="S22" s="3"/>
      <c r="T22" s="3"/>
      <c r="U22" s="1"/>
      <c r="V22" s="1"/>
      <c r="W22" s="1"/>
      <c r="X22" s="1"/>
      <c r="Y22" s="1"/>
      <c r="Z22" s="1"/>
    </row>
    <row r="23" spans="1:26" ht="13.5" thickBot="1" x14ac:dyDescent="0.25">
      <c r="A23" s="33" t="s">
        <v>12</v>
      </c>
      <c r="B23" s="34"/>
      <c r="C23" s="18">
        <f>(D17-C21)/D18</f>
        <v>0.50401164952126054</v>
      </c>
      <c r="D23" s="1"/>
      <c r="E23" s="35" t="s">
        <v>13</v>
      </c>
      <c r="F23" s="35"/>
      <c r="G23" s="35"/>
      <c r="H23" s="36"/>
      <c r="I23" s="22">
        <f>(D17-C21)/(I21*D18^2)</f>
        <v>0.40644822091765348</v>
      </c>
      <c r="J23" s="1"/>
      <c r="K23" s="1"/>
      <c r="L23" s="1"/>
      <c r="M23" s="1"/>
      <c r="N23" s="3"/>
      <c r="O23" s="3"/>
      <c r="P23" s="3"/>
      <c r="Q23" s="3"/>
      <c r="R23" s="3"/>
      <c r="S23" s="3"/>
      <c r="T23" s="3"/>
      <c r="U23" s="1"/>
      <c r="V23" s="1"/>
      <c r="W23" s="1"/>
      <c r="X23" s="1"/>
      <c r="Y23" s="1"/>
      <c r="Z23" s="1"/>
    </row>
    <row r="24" spans="1:26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3"/>
      <c r="O24" s="3"/>
      <c r="P24" s="3"/>
      <c r="Q24" s="3"/>
      <c r="R24" s="3"/>
      <c r="S24" s="3"/>
      <c r="T24" s="3"/>
      <c r="U24" s="1"/>
      <c r="V24" s="1"/>
      <c r="W24" s="1"/>
      <c r="X24" s="1"/>
      <c r="Y24" s="1"/>
      <c r="Z24" s="1"/>
    </row>
    <row r="25" spans="1:26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3"/>
      <c r="O25" s="3"/>
      <c r="P25" s="3"/>
      <c r="Q25" s="3"/>
      <c r="R25" s="3"/>
      <c r="S25" s="3"/>
      <c r="T25" s="3"/>
      <c r="U25" s="1"/>
      <c r="V25" s="1"/>
      <c r="W25" s="1"/>
      <c r="X25" s="1"/>
      <c r="Y25" s="1"/>
      <c r="Z25" s="1"/>
    </row>
    <row r="26" spans="1:26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3"/>
      <c r="O26" s="3"/>
      <c r="P26" s="3"/>
      <c r="Q26" s="3"/>
      <c r="R26" s="3"/>
      <c r="S26" s="3"/>
      <c r="T26" s="3"/>
      <c r="U26" s="1"/>
      <c r="V26" s="1"/>
      <c r="W26" s="1"/>
      <c r="X26" s="1"/>
      <c r="Y26" s="1"/>
      <c r="Z26" s="1"/>
    </row>
    <row r="27" spans="1:26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3"/>
      <c r="O27" s="3"/>
      <c r="P27" s="3"/>
      <c r="Q27" s="3"/>
      <c r="R27" s="3"/>
      <c r="S27" s="3"/>
      <c r="T27" s="3"/>
      <c r="U27" s="1"/>
      <c r="V27" s="1"/>
      <c r="W27" s="1"/>
      <c r="X27" s="1"/>
      <c r="Y27" s="1"/>
      <c r="Z27" s="1"/>
    </row>
    <row r="28" spans="1:26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3"/>
      <c r="O28" s="3"/>
      <c r="P28" s="3"/>
      <c r="Q28" s="3"/>
      <c r="R28" s="3"/>
      <c r="S28" s="3"/>
      <c r="T28" s="3"/>
      <c r="U28" s="1"/>
      <c r="V28" s="1"/>
      <c r="W28" s="1"/>
      <c r="X28" s="1"/>
      <c r="Y28" s="1"/>
      <c r="Z28" s="1"/>
    </row>
    <row r="29" spans="1:26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3"/>
      <c r="O29" s="3"/>
      <c r="P29" s="3"/>
      <c r="Q29" s="3"/>
      <c r="R29" s="3"/>
      <c r="S29" s="3"/>
      <c r="T29" s="3"/>
      <c r="U29" s="1"/>
      <c r="V29" s="1"/>
      <c r="W29" s="1"/>
      <c r="X29" s="1"/>
      <c r="Y29" s="1"/>
      <c r="Z29" s="1"/>
    </row>
    <row r="30" spans="1:26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3"/>
      <c r="O30" s="3"/>
      <c r="P30" s="3"/>
      <c r="Q30" s="3"/>
      <c r="R30" s="3"/>
      <c r="S30" s="3"/>
      <c r="T30" s="3"/>
      <c r="U30" s="1"/>
      <c r="V30" s="1"/>
      <c r="W30" s="1"/>
      <c r="X30" s="1"/>
      <c r="Y30" s="1"/>
      <c r="Z30" s="1"/>
    </row>
    <row r="31" spans="1:26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3"/>
      <c r="Q31" s="3"/>
      <c r="R31" s="3"/>
      <c r="S31" s="3"/>
      <c r="T31" s="3"/>
      <c r="U31" s="1"/>
      <c r="V31" s="1"/>
      <c r="W31" s="1"/>
      <c r="X31" s="1"/>
      <c r="Y31" s="1"/>
      <c r="Z31" s="1"/>
    </row>
    <row r="32" spans="1:26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3"/>
      <c r="Q32" s="3"/>
      <c r="R32" s="3"/>
      <c r="S32" s="3"/>
      <c r="T32" s="3"/>
      <c r="U32" s="1"/>
      <c r="V32" s="1"/>
      <c r="W32" s="1"/>
      <c r="X32" s="1"/>
      <c r="Y32" s="1"/>
      <c r="Z32" s="1"/>
    </row>
    <row r="33" spans="1:26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3"/>
      <c r="Q33" s="3"/>
      <c r="R33" s="3"/>
      <c r="S33" s="3"/>
      <c r="T33" s="3"/>
      <c r="U33" s="1"/>
      <c r="V33" s="1"/>
      <c r="W33" s="1"/>
      <c r="X33" s="1"/>
      <c r="Y33" s="1"/>
      <c r="Z33" s="1"/>
    </row>
    <row r="34" spans="1:26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3"/>
      <c r="Q34" s="3"/>
      <c r="R34" s="3"/>
      <c r="S34" s="3"/>
      <c r="T34" s="3"/>
      <c r="U34" s="1"/>
      <c r="V34" s="1"/>
      <c r="W34" s="1"/>
      <c r="X34" s="1"/>
      <c r="Y34" s="1"/>
      <c r="Z34" s="1"/>
    </row>
    <row r="35" spans="1:26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</sheetData>
  <mergeCells count="6">
    <mergeCell ref="M1:Z1"/>
    <mergeCell ref="A21:B21"/>
    <mergeCell ref="A23:B23"/>
    <mergeCell ref="E21:H21"/>
    <mergeCell ref="A1:L1"/>
    <mergeCell ref="E23:H23"/>
  </mergeCells>
  <phoneticPr fontId="0" type="noConversion"/>
  <pageMargins left="0.75" right="0.75" top="1" bottom="1" header="0.5" footer="0.5"/>
  <pageSetup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tructTable">
                <anchor moveWithCells="1" sizeWithCells="1">
                  <from>
                    <xdr:col>3</xdr:col>
                    <xdr:colOff>276225</xdr:colOff>
                    <xdr:row>1</xdr:row>
                    <xdr:rowOff>142875</xdr:rowOff>
                  </from>
                  <to>
                    <xdr:col>6</xdr:col>
                    <xdr:colOff>19050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illInNames">
                <anchor moveWithCells="1" sizeWithCells="1">
                  <from>
                    <xdr:col>7</xdr:col>
                    <xdr:colOff>19050</xdr:colOff>
                    <xdr:row>1</xdr:row>
                    <xdr:rowOff>133350</xdr:rowOff>
                  </from>
                  <to>
                    <xdr:col>9</xdr:col>
                    <xdr:colOff>295275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Main</vt:lpstr>
      <vt:lpstr>Main!Print_Area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S Kaplin</dc:creator>
  <cp:lastModifiedBy>dpap</cp:lastModifiedBy>
  <cp:lastPrinted>2001-04-02T21:50:11Z</cp:lastPrinted>
  <dcterms:created xsi:type="dcterms:W3CDTF">2000-01-26T20:37:09Z</dcterms:created>
  <dcterms:modified xsi:type="dcterms:W3CDTF">2012-03-29T20:17:30Z</dcterms:modified>
</cp:coreProperties>
</file>