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120" yWindow="120" windowWidth="12120" windowHeight="8835"/>
  </bookViews>
  <sheets>
    <sheet name="Main" sheetId="1" r:id="rId1"/>
    <sheet name="Construct_and_FillIn" sheetId="2" state="veryHidden" r:id=""/>
    <sheet name="MatrixFunctions" sheetId="3" state="veryHidden" r:id=""/>
    <sheet name="Calculate" sheetId="4" state="veryHidden" r:id=""/>
  </sheets>
  <functionGroups/>
  <definedNames>
    <definedName name="_xlnm.Print_Area" localSheetId="0">Main!$A$2:$J$27</definedName>
    <definedName name="solver_adj" localSheetId="0" hidden="1">Main!$C$8:$C$13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hs1" localSheetId="0" hidden="1">Main!$C$14</definedName>
    <definedName name="solver_lhs2" localSheetId="0" hidden="1">Main!$D$19</definedName>
    <definedName name="solver_lhs3" localSheetId="0" hidden="1">Main!$D$26</definedName>
    <definedName name="solver_lhs4" localSheetId="0" hidden="1">Main!$D$19</definedName>
    <definedName name="solver_lhs5" localSheetId="0" hidden="1">Main!$D$19</definedName>
    <definedName name="solver_lin" localSheetId="0" hidden="1">2</definedName>
    <definedName name="solver_neg" localSheetId="0" hidden="1">2</definedName>
    <definedName name="solver_num" localSheetId="0" hidden="1">3</definedName>
    <definedName name="solver_nwt" localSheetId="0" hidden="1">1</definedName>
    <definedName name="solver_opt" localSheetId="0" hidden="1">Main!$D$20</definedName>
    <definedName name="solver_pre" localSheetId="0" hidden="1">0.000001</definedName>
    <definedName name="solver_rel1" localSheetId="0" hidden="1">2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3</definedName>
    <definedName name="solver_rhs1" localSheetId="0" hidden="1">1</definedName>
    <definedName name="solver_rhs2" localSheetId="0" hidden="1">0.12</definedName>
    <definedName name="solver_rhs3" localSheetId="0" hidden="1">0</definedName>
    <definedName name="solver_rhs4" localSheetId="0" hidden="1">0.12</definedName>
    <definedName name="solver_rhs5" localSheetId="0" hidden="1">0.05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25725"/>
</workbook>
</file>

<file path=xl/calcChain.xml><?xml version="1.0" encoding="utf-8"?>
<calcChain xmlns="http://schemas.openxmlformats.org/spreadsheetml/2006/main">
  <c r="R18" i="1"/>
  <c r="J24"/>
  <c r="K24"/>
  <c r="L24"/>
  <c r="M24"/>
  <c r="D26" s="1"/>
  <c r="A20"/>
  <c r="A19"/>
  <c r="D19"/>
  <c r="C14"/>
  <c r="I14"/>
  <c r="D20"/>
</calcChain>
</file>

<file path=xl/sharedStrings.xml><?xml version="1.0" encoding="utf-8"?>
<sst xmlns="http://schemas.openxmlformats.org/spreadsheetml/2006/main" count="48" uniqueCount="30">
  <si>
    <t>Number of securities:</t>
  </si>
  <si>
    <t>No</t>
  </si>
  <si>
    <t>Name</t>
  </si>
  <si>
    <t>Expected</t>
  </si>
  <si>
    <t>Standard</t>
  </si>
  <si>
    <t>Return</t>
  </si>
  <si>
    <t>Deviation</t>
  </si>
  <si>
    <t>Fraction</t>
  </si>
  <si>
    <t>Correlations</t>
  </si>
  <si>
    <t>Portfolio's Expected Return</t>
  </si>
  <si>
    <t>Portfolio's Standard Deviation</t>
  </si>
  <si>
    <t>Expected Tracking Error</t>
  </si>
  <si>
    <t>Tracking Error Std. Dev.</t>
  </si>
  <si>
    <t xml:space="preserve"> </t>
  </si>
  <si>
    <t>1 (SG)</t>
  </si>
  <si>
    <t>2 (SC)</t>
  </si>
  <si>
    <t>3 (SV)</t>
  </si>
  <si>
    <t>4 (LG)</t>
  </si>
  <si>
    <t>5 (LC)</t>
  </si>
  <si>
    <t>6 (LV)</t>
  </si>
  <si>
    <t>Covariance</t>
  </si>
  <si>
    <t>market</t>
  </si>
  <si>
    <t>term_spread</t>
  </si>
  <si>
    <t>yield spread</t>
  </si>
  <si>
    <t>Oil inflation</t>
  </si>
  <si>
    <t>FACTOR LOADINGS</t>
  </si>
  <si>
    <t>PORTFOLIO</t>
  </si>
  <si>
    <t>Cov(r_p,F_OI)/Var(F_OI)</t>
  </si>
  <si>
    <t>Portfolio Factor load =&gt;</t>
  </si>
  <si>
    <t>Oil</t>
  </si>
</sst>
</file>

<file path=xl/styles.xml><?xml version="1.0" encoding="utf-8"?>
<styleSheet xmlns="http://schemas.openxmlformats.org/spreadsheetml/2006/main">
  <numFmts count="3">
    <numFmt numFmtId="164" formatCode="0.0000"/>
    <numFmt numFmtId="166" formatCode="0.000"/>
    <numFmt numFmtId="170" formatCode="0.0%"/>
  </numFmts>
  <fonts count="13">
    <font>
      <sz val="10"/>
      <name val="Arial"/>
    </font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8"/>
      <color indexed="8"/>
      <name val="Arial Narrow"/>
      <family val="2"/>
    </font>
    <font>
      <sz val="10"/>
      <color indexed="22"/>
      <name val="Arial"/>
      <family val="2"/>
    </font>
    <font>
      <b/>
      <i/>
      <sz val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i/>
      <sz val="10"/>
      <color indexed="10"/>
      <name val="Arial"/>
      <family val="2"/>
    </font>
    <font>
      <sz val="10"/>
      <color indexed="15"/>
      <name val="Arial"/>
      <family val="2"/>
    </font>
    <font>
      <sz val="10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8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2">
    <xf numFmtId="0" fontId="0" fillId="0" borderId="0" xfId="0"/>
    <xf numFmtId="0" fontId="0" fillId="2" borderId="0" xfId="0" applyFill="1"/>
    <xf numFmtId="0" fontId="0" fillId="3" borderId="1" xfId="0" applyFill="1" applyBorder="1"/>
    <xf numFmtId="0" fontId="2" fillId="2" borderId="0" xfId="0" applyFont="1" applyFill="1" applyBorder="1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/>
    <xf numFmtId="0" fontId="0" fillId="0" borderId="0" xfId="0" applyBorder="1"/>
    <xf numFmtId="0" fontId="2" fillId="0" borderId="0" xfId="0" applyFont="1" applyBorder="1" applyAlignment="1">
      <alignment horizontal="center"/>
    </xf>
    <xf numFmtId="2" fontId="0" fillId="2" borderId="0" xfId="0" applyNumberFormat="1" applyFill="1" applyBorder="1"/>
    <xf numFmtId="0" fontId="2" fillId="2" borderId="2" xfId="0" applyFont="1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166" fontId="0" fillId="2" borderId="0" xfId="1" applyNumberFormat="1" applyFont="1" applyFill="1" applyBorder="1"/>
    <xf numFmtId="0" fontId="0" fillId="2" borderId="3" xfId="0" applyFill="1" applyBorder="1" applyAlignment="1"/>
    <xf numFmtId="0" fontId="2" fillId="2" borderId="0" xfId="0" applyFont="1" applyFill="1"/>
    <xf numFmtId="0" fontId="2" fillId="2" borderId="4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center"/>
    </xf>
    <xf numFmtId="0" fontId="0" fillId="2" borderId="5" xfId="0" applyFill="1" applyBorder="1"/>
    <xf numFmtId="0" fontId="0" fillId="2" borderId="5" xfId="0" applyFill="1" applyBorder="1" applyAlignment="1"/>
    <xf numFmtId="2" fontId="3" fillId="2" borderId="0" xfId="0" applyNumberFormat="1" applyFont="1" applyFill="1" applyBorder="1" applyAlignment="1"/>
    <xf numFmtId="2" fontId="0" fillId="2" borderId="0" xfId="0" applyNumberFormat="1" applyFill="1"/>
    <xf numFmtId="0" fontId="2" fillId="2" borderId="6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4" borderId="2" xfId="0" applyFill="1" applyBorder="1"/>
    <xf numFmtId="0" fontId="6" fillId="2" borderId="0" xfId="0" applyFont="1" applyFill="1"/>
    <xf numFmtId="2" fontId="0" fillId="4" borderId="2" xfId="0" applyNumberFormat="1" applyFill="1" applyBorder="1"/>
    <xf numFmtId="2" fontId="0" fillId="2" borderId="2" xfId="0" applyNumberFormat="1" applyFill="1" applyBorder="1"/>
    <xf numFmtId="0" fontId="7" fillId="2" borderId="9" xfId="0" applyFont="1" applyFill="1" applyBorder="1" applyAlignment="1">
      <alignment horizontal="center"/>
    </xf>
    <xf numFmtId="0" fontId="2" fillId="2" borderId="0" xfId="0" applyFont="1" applyFill="1" applyBorder="1" applyAlignment="1"/>
    <xf numFmtId="0" fontId="2" fillId="2" borderId="10" xfId="0" applyFont="1" applyFill="1" applyBorder="1" applyAlignment="1"/>
    <xf numFmtId="0" fontId="0" fillId="2" borderId="10" xfId="0" applyFill="1" applyBorder="1" applyAlignment="1"/>
    <xf numFmtId="166" fontId="0" fillId="2" borderId="0" xfId="0" applyNumberFormat="1" applyFill="1" applyBorder="1" applyAlignment="1"/>
    <xf numFmtId="166" fontId="0" fillId="2" borderId="10" xfId="0" applyNumberFormat="1" applyFill="1" applyBorder="1" applyAlignment="1"/>
    <xf numFmtId="0" fontId="8" fillId="2" borderId="0" xfId="0" applyFont="1" applyFill="1" applyBorder="1"/>
    <xf numFmtId="0" fontId="9" fillId="2" borderId="0" xfId="0" applyFont="1" applyFill="1" applyBorder="1"/>
    <xf numFmtId="0" fontId="10" fillId="2" borderId="9" xfId="0" applyFont="1" applyFill="1" applyBorder="1" applyAlignment="1"/>
    <xf numFmtId="0" fontId="7" fillId="2" borderId="0" xfId="0" applyFont="1" applyFill="1"/>
    <xf numFmtId="166" fontId="7" fillId="2" borderId="0" xfId="0" applyNumberFormat="1" applyFont="1" applyFill="1"/>
    <xf numFmtId="164" fontId="4" fillId="2" borderId="0" xfId="0" applyNumberFormat="1" applyFont="1" applyFill="1" applyBorder="1"/>
    <xf numFmtId="164" fontId="0" fillId="2" borderId="0" xfId="0" applyNumberFormat="1" applyFill="1" applyBorder="1"/>
    <xf numFmtId="0" fontId="11" fillId="2" borderId="0" xfId="0" applyFont="1" applyFill="1"/>
    <xf numFmtId="0" fontId="12" fillId="2" borderId="0" xfId="0" applyFont="1" applyFill="1"/>
    <xf numFmtId="2" fontId="0" fillId="4" borderId="2" xfId="0" applyNumberFormat="1" applyFill="1" applyBorder="1" applyAlignment="1"/>
    <xf numFmtId="2" fontId="0" fillId="2" borderId="2" xfId="0" applyNumberFormat="1" applyFill="1" applyBorder="1" applyAlignment="1"/>
    <xf numFmtId="170" fontId="0" fillId="4" borderId="2" xfId="1" applyNumberFormat="1" applyFont="1" applyFill="1" applyBorder="1"/>
    <xf numFmtId="170" fontId="0" fillId="2" borderId="2" xfId="1" applyNumberFormat="1" applyFont="1" applyFill="1" applyBorder="1"/>
    <xf numFmtId="166" fontId="0" fillId="2" borderId="0" xfId="0" applyNumberFormat="1" applyFill="1" applyBorder="1"/>
    <xf numFmtId="0" fontId="5" fillId="5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1209675</xdr:colOff>
      <xdr:row>0</xdr:row>
      <xdr:rowOff>161925</xdr:rowOff>
    </xdr:from>
    <xdr:to>
      <xdr:col>9</xdr:col>
      <xdr:colOff>514350</xdr:colOff>
      <xdr:row>0</xdr:row>
      <xdr:rowOff>561975</xdr:rowOff>
    </xdr:to>
    <xdr:sp macro="" textlink="">
      <xdr:nvSpPr>
        <xdr:cNvPr id="1028" name="WordArt 4"/>
        <xdr:cNvSpPr>
          <a:spLocks noChangeArrowheads="1" noChangeShapeType="1" noTextEdit="1"/>
        </xdr:cNvSpPr>
      </xdr:nvSpPr>
      <xdr:spPr bwMode="auto">
        <a:xfrm>
          <a:off x="1323975" y="161925"/>
          <a:ext cx="4724400" cy="4000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1800" b="1" kern="10" spc="0">
              <a:ln w="9525">
                <a:noFill/>
                <a:round/>
                <a:headEnd/>
                <a:tailEnd/>
              </a:ln>
              <a:gradFill rotWithShape="0">
                <a:gsLst>
                  <a:gs pos="0">
                    <a:srgbClr val="8488C4"/>
                  </a:gs>
                  <a:gs pos="53000">
                    <a:srgbClr val="D4DEFF"/>
                  </a:gs>
                  <a:gs pos="83000">
                    <a:srgbClr val="D4DEFF"/>
                  </a:gs>
                  <a:gs pos="100000">
                    <a:srgbClr val="96AB94"/>
                  </a:gs>
                </a:gsLst>
                <a:lin ang="5400000" scaled="1"/>
              </a:gradFill>
              <a:effectLst>
                <a:outerShdw dist="45791" dir="3378596" algn="ctr" rotWithShape="0">
                  <a:srgbClr val="4D4D4D"/>
                </a:outerShdw>
              </a:effectLst>
              <a:latin typeface="Bookman Old Style"/>
            </a:rPr>
            <a:t>The Markowitz Portfolio Selection Model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GZ60"/>
  <sheetViews>
    <sheetView tabSelected="1" workbookViewId="0">
      <selection activeCell="E16" sqref="E16"/>
    </sheetView>
  </sheetViews>
  <sheetFormatPr defaultRowHeight="12.75"/>
  <cols>
    <col min="1" max="1" width="4" customWidth="1"/>
    <col min="2" max="2" width="15.85546875" customWidth="1"/>
    <col min="3" max="3" width="11.5703125" bestFit="1" customWidth="1"/>
    <col min="7" max="7" width="4" customWidth="1"/>
    <col min="9" max="9" width="11.28515625" customWidth="1"/>
    <col min="10" max="10" width="7.42578125" customWidth="1"/>
    <col min="11" max="11" width="11.85546875" customWidth="1"/>
    <col min="12" max="12" width="11.42578125" bestFit="1" customWidth="1"/>
    <col min="13" max="13" width="10.85546875" bestFit="1" customWidth="1"/>
  </cols>
  <sheetData>
    <row r="1" spans="1:208" ht="69.75" customHeight="1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</row>
    <row r="2" spans="1:208" ht="13.5" thickBot="1">
      <c r="A2" s="26" t="s">
        <v>9</v>
      </c>
      <c r="B2" s="26" t="s">
        <v>11</v>
      </c>
      <c r="C2" s="26" t="s">
        <v>10</v>
      </c>
      <c r="D2" s="26" t="s">
        <v>12</v>
      </c>
      <c r="E2" s="26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08" ht="13.5" thickBot="1">
      <c r="A3" s="14" t="s">
        <v>0</v>
      </c>
      <c r="B3" s="1"/>
      <c r="C3" s="2">
        <v>6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08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08">
      <c r="A5" s="1"/>
      <c r="B5" s="1"/>
      <c r="C5" s="1"/>
      <c r="D5" s="1"/>
      <c r="E5" s="1"/>
      <c r="F5" s="1"/>
      <c r="G5" s="1"/>
      <c r="H5" s="1"/>
      <c r="I5" s="4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08">
      <c r="A6" s="15" t="s">
        <v>1</v>
      </c>
      <c r="B6" s="15" t="s">
        <v>2</v>
      </c>
      <c r="C6" s="15" t="s">
        <v>7</v>
      </c>
      <c r="D6" s="15" t="s">
        <v>3</v>
      </c>
      <c r="E6" s="15" t="s">
        <v>4</v>
      </c>
      <c r="F6" s="1"/>
      <c r="G6" s="16" t="s">
        <v>8</v>
      </c>
      <c r="H6" s="4"/>
      <c r="I6" s="15">
        <v>2</v>
      </c>
      <c r="J6" s="15">
        <v>3</v>
      </c>
      <c r="K6" s="15">
        <v>4</v>
      </c>
      <c r="L6" s="15">
        <v>5</v>
      </c>
      <c r="M6" s="15">
        <v>6</v>
      </c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6"/>
    </row>
    <row r="7" spans="1:208">
      <c r="A7" s="17"/>
      <c r="B7" s="11"/>
      <c r="C7" s="17"/>
      <c r="D7" s="17" t="s">
        <v>5</v>
      </c>
      <c r="E7" s="17" t="s">
        <v>6</v>
      </c>
      <c r="F7" s="4"/>
      <c r="G7" s="4"/>
      <c r="H7" s="4"/>
      <c r="I7" s="18" t="s">
        <v>15</v>
      </c>
      <c r="J7" s="19"/>
      <c r="K7" s="19" t="s">
        <v>17</v>
      </c>
      <c r="L7" s="18"/>
      <c r="M7" s="18" t="s">
        <v>19</v>
      </c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</row>
    <row r="8" spans="1:208">
      <c r="A8" s="9">
        <v>1</v>
      </c>
      <c r="B8" s="25" t="s">
        <v>14</v>
      </c>
      <c r="C8" s="27">
        <v>0.29374767792254258</v>
      </c>
      <c r="D8" s="46">
        <v>0.14669509046969478</v>
      </c>
      <c r="E8" s="46">
        <v>0.30614792039906003</v>
      </c>
      <c r="F8" s="4"/>
      <c r="G8" s="4"/>
      <c r="H8" s="4"/>
      <c r="I8" s="11"/>
      <c r="J8" s="13" t="s">
        <v>16</v>
      </c>
      <c r="K8" s="13"/>
      <c r="L8" s="11" t="s">
        <v>18</v>
      </c>
      <c r="M8" s="11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</row>
    <row r="9" spans="1:208">
      <c r="A9" s="9">
        <v>2</v>
      </c>
      <c r="B9" s="25" t="s">
        <v>15</v>
      </c>
      <c r="C9" s="27">
        <v>0.12371273991617147</v>
      </c>
      <c r="D9" s="46">
        <v>0.1065530007044765</v>
      </c>
      <c r="E9" s="46">
        <v>0.20762316686052854</v>
      </c>
      <c r="F9" s="4"/>
      <c r="G9" s="9">
        <v>1</v>
      </c>
      <c r="H9" s="10" t="s">
        <v>14</v>
      </c>
      <c r="I9" s="27">
        <v>0.68210000000000004</v>
      </c>
      <c r="J9" s="44">
        <v>0.67610000000000003</v>
      </c>
      <c r="K9" s="44">
        <v>0.4662</v>
      </c>
      <c r="L9" s="27">
        <v>0.40050000000000002</v>
      </c>
      <c r="M9" s="27">
        <v>0.31319999999999998</v>
      </c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  <c r="GH9" s="6"/>
      <c r="GI9" s="6"/>
      <c r="GJ9" s="6"/>
      <c r="GK9" s="6"/>
      <c r="GL9" s="6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6"/>
    </row>
    <row r="10" spans="1:208">
      <c r="A10" s="9">
        <v>3</v>
      </c>
      <c r="B10" s="25" t="s">
        <v>16</v>
      </c>
      <c r="C10" s="27">
        <v>-3.280017186420469E-2</v>
      </c>
      <c r="D10" s="46">
        <v>0.1016341691371847</v>
      </c>
      <c r="E10" s="46">
        <v>0.20981216816595469</v>
      </c>
      <c r="F10" s="4"/>
      <c r="G10" s="9">
        <v>2</v>
      </c>
      <c r="H10" s="10" t="s">
        <v>15</v>
      </c>
      <c r="I10" s="28">
        <v>1</v>
      </c>
      <c r="J10" s="44">
        <v>0.60899999999999999</v>
      </c>
      <c r="K10" s="44">
        <v>0.41070000000000001</v>
      </c>
      <c r="L10" s="27">
        <v>0.36049999999999999</v>
      </c>
      <c r="M10" s="27">
        <v>0.28039999999999998</v>
      </c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</row>
    <row r="11" spans="1:208">
      <c r="A11" s="9">
        <v>4</v>
      </c>
      <c r="B11" s="25" t="s">
        <v>17</v>
      </c>
      <c r="C11" s="27">
        <v>0.47021718243853849</v>
      </c>
      <c r="D11" s="46">
        <v>0.11231880958962115</v>
      </c>
      <c r="E11" s="46">
        <v>0.19684426420400095</v>
      </c>
      <c r="F11" s="4"/>
      <c r="G11" s="9">
        <v>3</v>
      </c>
      <c r="H11" s="10" t="s">
        <v>16</v>
      </c>
      <c r="I11" s="28"/>
      <c r="J11" s="45">
        <v>1</v>
      </c>
      <c r="K11" s="44">
        <v>0.38040000000000002</v>
      </c>
      <c r="L11" s="27">
        <v>0.29459999999999997</v>
      </c>
      <c r="M11" s="27">
        <v>0.2203</v>
      </c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6"/>
      <c r="GD11" s="6"/>
      <c r="GE11" s="6"/>
      <c r="GF11" s="6"/>
      <c r="GG11" s="6"/>
      <c r="GH11" s="6"/>
      <c r="GI11" s="6"/>
      <c r="GJ11" s="6"/>
      <c r="GK11" s="6"/>
      <c r="GL11" s="6"/>
      <c r="GM11" s="6"/>
      <c r="GN11" s="6"/>
      <c r="GO11" s="6"/>
      <c r="GP11" s="6"/>
      <c r="GQ11" s="6"/>
      <c r="GR11" s="6"/>
      <c r="GS11" s="6"/>
      <c r="GT11" s="6"/>
      <c r="GU11" s="6"/>
      <c r="GV11" s="6"/>
      <c r="GW11" s="6"/>
      <c r="GX11" s="6"/>
      <c r="GY11" s="6"/>
      <c r="GZ11" s="6"/>
    </row>
    <row r="12" spans="1:208">
      <c r="A12" s="9">
        <v>5</v>
      </c>
      <c r="B12" s="25" t="s">
        <v>18</v>
      </c>
      <c r="C12" s="27">
        <v>0.18540535013157267</v>
      </c>
      <c r="D12" s="46">
        <v>9.7063370669082938E-2</v>
      </c>
      <c r="E12" s="46">
        <v>0.17424057041457233</v>
      </c>
      <c r="F12" s="4"/>
      <c r="G12" s="9">
        <v>4</v>
      </c>
      <c r="H12" s="10" t="s">
        <v>17</v>
      </c>
      <c r="I12" s="28"/>
      <c r="J12" s="45"/>
      <c r="K12" s="45">
        <v>1</v>
      </c>
      <c r="L12" s="27">
        <v>0.42209999999999998</v>
      </c>
      <c r="M12" s="27">
        <v>0.41720000000000002</v>
      </c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  <c r="FS12" s="6"/>
      <c r="FT12" s="6"/>
      <c r="FU12" s="6"/>
      <c r="FV12" s="6"/>
      <c r="FW12" s="6"/>
      <c r="FX12" s="6"/>
      <c r="FY12" s="6"/>
      <c r="FZ12" s="6"/>
      <c r="GA12" s="6"/>
      <c r="GB12" s="6"/>
      <c r="GC12" s="6"/>
      <c r="GD12" s="6"/>
      <c r="GE12" s="6"/>
      <c r="GF12" s="6"/>
      <c r="GG12" s="6"/>
      <c r="GH12" s="6"/>
      <c r="GI12" s="6"/>
      <c r="GJ12" s="6"/>
      <c r="GK12" s="6"/>
      <c r="GL12" s="6"/>
      <c r="GM12" s="6"/>
      <c r="GN12" s="6"/>
      <c r="GO12" s="6"/>
      <c r="GP12" s="6"/>
      <c r="GQ12" s="6"/>
      <c r="GR12" s="6"/>
      <c r="GS12" s="6"/>
      <c r="GT12" s="6"/>
      <c r="GU12" s="6"/>
      <c r="GV12" s="6"/>
      <c r="GW12" s="6"/>
      <c r="GX12" s="6"/>
      <c r="GY12" s="6"/>
      <c r="GZ12" s="6"/>
    </row>
    <row r="13" spans="1:208">
      <c r="A13" s="9">
        <v>6</v>
      </c>
      <c r="B13" s="25" t="s">
        <v>19</v>
      </c>
      <c r="C13" s="27">
        <v>-4.0282778544592564E-2</v>
      </c>
      <c r="D13" s="46">
        <v>9.30917782622976E-2</v>
      </c>
      <c r="E13" s="46">
        <v>0.16905501351833768</v>
      </c>
      <c r="F13" s="4"/>
      <c r="G13" s="9">
        <v>5</v>
      </c>
      <c r="H13" s="10" t="s">
        <v>18</v>
      </c>
      <c r="I13" s="28"/>
      <c r="J13" s="45"/>
      <c r="K13" s="45"/>
      <c r="L13" s="28">
        <v>1</v>
      </c>
      <c r="M13" s="27">
        <v>0.39369999999999999</v>
      </c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  <c r="FS13" s="6"/>
      <c r="FT13" s="6"/>
      <c r="FU13" s="6"/>
      <c r="FV13" s="6"/>
      <c r="FW13" s="6"/>
      <c r="FX13" s="6"/>
      <c r="FY13" s="6"/>
      <c r="FZ13" s="6"/>
      <c r="GA13" s="6"/>
      <c r="GB13" s="6"/>
      <c r="GC13" s="6"/>
      <c r="GD13" s="6"/>
      <c r="GE13" s="6"/>
      <c r="GF13" s="6"/>
      <c r="GG13" s="6"/>
      <c r="GH13" s="6"/>
      <c r="GI13" s="6"/>
      <c r="GJ13" s="6"/>
      <c r="GK13" s="6"/>
      <c r="GL13" s="6"/>
      <c r="GM13" s="6"/>
      <c r="GN13" s="6"/>
      <c r="GO13" s="6"/>
      <c r="GP13" s="6"/>
      <c r="GQ13" s="6"/>
      <c r="GR13" s="6"/>
      <c r="GS13" s="6"/>
      <c r="GT13" s="6"/>
      <c r="GU13" s="6"/>
      <c r="GV13" s="6"/>
      <c r="GW13" s="6"/>
      <c r="GX13" s="6"/>
      <c r="GY13" s="6"/>
      <c r="GZ13" s="6"/>
    </row>
    <row r="14" spans="1:208">
      <c r="A14" s="3"/>
      <c r="B14" s="4"/>
      <c r="C14" s="8">
        <f>SUM(C8:C13)</f>
        <v>1.000000000000028</v>
      </c>
      <c r="D14" s="12"/>
      <c r="E14" s="12"/>
      <c r="F14" s="4"/>
      <c r="G14" s="3"/>
      <c r="H14" s="4"/>
      <c r="I14" s="8" t="str">
        <f>IF($C$3&gt;2,IF(IsCorrelationMAtrixConsistent(I9:M13),"YES","NO"),"YES")</f>
        <v>YES</v>
      </c>
      <c r="J14" s="8"/>
      <c r="K14" s="8"/>
      <c r="L14" s="8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"/>
      <c r="FS14" s="6"/>
      <c r="FT14" s="6"/>
      <c r="FU14" s="6"/>
      <c r="FV14" s="6"/>
      <c r="FW14" s="6"/>
      <c r="FX14" s="6"/>
      <c r="FY14" s="6"/>
      <c r="FZ14" s="6"/>
      <c r="GA14" s="6"/>
      <c r="GB14" s="6"/>
      <c r="GC14" s="6"/>
      <c r="GD14" s="6"/>
      <c r="GE14" s="6"/>
      <c r="GF14" s="6"/>
      <c r="GG14" s="6"/>
      <c r="GH14" s="6"/>
      <c r="GI14" s="6"/>
      <c r="GJ14" s="6"/>
      <c r="GK14" s="6"/>
      <c r="GL14" s="6"/>
      <c r="GM14" s="6"/>
      <c r="GN14" s="6"/>
      <c r="GO14" s="6"/>
      <c r="GP14" s="6"/>
      <c r="GQ14" s="6"/>
      <c r="GR14" s="6"/>
      <c r="GS14" s="6"/>
      <c r="GT14" s="6"/>
      <c r="GU14" s="6"/>
      <c r="GV14" s="6"/>
      <c r="GW14" s="6"/>
      <c r="GX14" s="6"/>
      <c r="GY14" s="6"/>
      <c r="GZ14" s="6"/>
    </row>
    <row r="15" spans="1:208">
      <c r="A15" s="3"/>
      <c r="B15" s="4"/>
      <c r="C15" s="4"/>
      <c r="D15" s="12"/>
      <c r="E15" s="12"/>
      <c r="F15" s="4"/>
      <c r="G15" s="3"/>
      <c r="H15" s="4"/>
      <c r="I15" s="8"/>
      <c r="J15" s="8"/>
      <c r="K15" s="8"/>
      <c r="L15" s="8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  <c r="FS15" s="6"/>
      <c r="FT15" s="6"/>
      <c r="FU15" s="6"/>
      <c r="FV15" s="6"/>
      <c r="FW15" s="6"/>
      <c r="FX15" s="6"/>
      <c r="FY15" s="6"/>
      <c r="FZ15" s="6"/>
      <c r="GA15" s="6"/>
      <c r="GB15" s="6"/>
      <c r="GC15" s="6"/>
      <c r="GD15" s="6"/>
      <c r="GE15" s="6"/>
      <c r="GF15" s="6"/>
      <c r="GG15" s="6"/>
      <c r="GH15" s="6"/>
      <c r="GI15" s="6"/>
      <c r="GJ15" s="6"/>
      <c r="GK15" s="6"/>
      <c r="GL15" s="6"/>
      <c r="GM15" s="6"/>
      <c r="GN15" s="6"/>
      <c r="GO15" s="6"/>
      <c r="GP15" s="6"/>
      <c r="GQ15" s="6"/>
      <c r="GR15" s="6"/>
      <c r="GS15" s="6"/>
      <c r="GT15" s="6"/>
      <c r="GU15" s="6"/>
      <c r="GV15" s="6"/>
      <c r="GW15" s="6"/>
      <c r="GX15" s="6"/>
      <c r="GY15" s="6"/>
      <c r="GZ15" s="6"/>
    </row>
    <row r="16" spans="1:208" ht="13.5" thickBot="1">
      <c r="A16" s="4"/>
      <c r="B16" s="4"/>
      <c r="C16" s="20"/>
      <c r="D16" s="4"/>
      <c r="E16" s="4"/>
      <c r="F16" s="4"/>
      <c r="G16" s="4"/>
      <c r="H16" s="4"/>
      <c r="I16" s="4"/>
      <c r="J16" s="1"/>
      <c r="K16" s="35" t="s">
        <v>25</v>
      </c>
      <c r="L16" s="36"/>
      <c r="M16" s="4"/>
      <c r="N16" s="4"/>
      <c r="O16" s="4"/>
      <c r="P16" s="4"/>
      <c r="Q16" s="4"/>
      <c r="R16" s="4"/>
      <c r="S16" s="4"/>
      <c r="T16" s="4"/>
      <c r="U16" s="1"/>
      <c r="V16" s="1"/>
      <c r="W16" s="1"/>
      <c r="X16" s="1"/>
    </row>
    <row r="17" spans="1:24">
      <c r="A17" s="14"/>
      <c r="B17" s="1"/>
      <c r="C17" s="1"/>
      <c r="D17" s="1" t="s">
        <v>13</v>
      </c>
      <c r="E17" s="1"/>
      <c r="F17" s="1"/>
      <c r="G17" s="1"/>
      <c r="H17" s="1"/>
      <c r="I17" s="29"/>
      <c r="J17" s="29" t="s">
        <v>21</v>
      </c>
      <c r="K17" s="29" t="s">
        <v>22</v>
      </c>
      <c r="L17" s="29" t="s">
        <v>23</v>
      </c>
      <c r="M17" s="29" t="s">
        <v>29</v>
      </c>
      <c r="N17" s="1"/>
      <c r="O17" s="4"/>
      <c r="P17" s="4"/>
      <c r="Q17" s="4"/>
      <c r="R17" s="4"/>
      <c r="S17" s="4"/>
      <c r="T17" s="4"/>
      <c r="U17" s="1"/>
      <c r="V17" s="1"/>
      <c r="W17" s="1"/>
      <c r="X17" s="1"/>
    </row>
    <row r="18" spans="1:24">
      <c r="A18" s="1"/>
      <c r="B18" s="1"/>
      <c r="C18" s="1"/>
      <c r="D18" s="21" t="s">
        <v>13</v>
      </c>
      <c r="E18" s="1"/>
      <c r="F18" s="1"/>
      <c r="G18" s="1"/>
      <c r="H18" s="1"/>
      <c r="I18" s="30">
        <v>1</v>
      </c>
      <c r="J18" s="33">
        <v>1.4394005178125351</v>
      </c>
      <c r="K18" s="33">
        <v>5.4871663984175232</v>
      </c>
      <c r="L18" s="33">
        <v>0.27877918834193394</v>
      </c>
      <c r="M18" s="33">
        <v>4.3292984584002096E-2</v>
      </c>
      <c r="N18" s="1"/>
      <c r="O18" s="48"/>
      <c r="P18" s="4"/>
      <c r="Q18" s="4"/>
      <c r="R18" s="4">
        <f>SUMPRODUCT(Q18:Q23,M18:M23)</f>
        <v>0</v>
      </c>
      <c r="S18" s="4"/>
      <c r="T18" s="4"/>
      <c r="U18" s="1"/>
      <c r="V18" s="1"/>
      <c r="W18" s="1"/>
      <c r="X18" s="1"/>
    </row>
    <row r="19" spans="1:24">
      <c r="A19" s="22" t="str">
        <f>IF(C13=-1,B2,A2)</f>
        <v>Portfolio's Expected Return</v>
      </c>
      <c r="B19" s="23"/>
      <c r="C19" s="24"/>
      <c r="D19" s="47">
        <f>SUMPRODUCT(C8:C13,D8:D13)</f>
        <v>0.11999999455244724</v>
      </c>
      <c r="E19" s="42"/>
      <c r="F19" s="1"/>
      <c r="G19" s="1"/>
      <c r="H19" s="1"/>
      <c r="I19" s="30">
        <v>2</v>
      </c>
      <c r="J19" s="33">
        <v>0.87235846719980081</v>
      </c>
      <c r="K19" s="33">
        <v>3.4191176485916839</v>
      </c>
      <c r="L19" s="33">
        <v>-1.834494194422831E-2</v>
      </c>
      <c r="M19" s="33">
        <v>-1.9113425949992394E-2</v>
      </c>
      <c r="N19" s="1"/>
      <c r="O19" s="48"/>
      <c r="P19" s="4"/>
      <c r="Q19" s="4"/>
      <c r="R19" s="4"/>
      <c r="S19" s="4"/>
      <c r="T19" s="4"/>
      <c r="U19" s="1"/>
      <c r="V19" s="1"/>
      <c r="W19" s="1"/>
      <c r="X19" s="1"/>
    </row>
    <row r="20" spans="1:24">
      <c r="A20" s="22" t="str">
        <f>IF(C13=-1,D2,C2)</f>
        <v>Portfolio's Standard Deviation</v>
      </c>
      <c r="B20" s="23"/>
      <c r="C20" s="24"/>
      <c r="D20" s="47">
        <f>PortfolioStandardDeviation(C3,C8:C13,E8:E13,I9:M13)</f>
        <v>0.1842245168591469</v>
      </c>
      <c r="E20" s="1"/>
      <c r="F20" s="1"/>
      <c r="G20" s="1"/>
      <c r="H20" s="1"/>
      <c r="I20" s="30">
        <v>3</v>
      </c>
      <c r="J20" s="33">
        <v>0.78596127338639477</v>
      </c>
      <c r="K20" s="33">
        <v>3.9253663748993288</v>
      </c>
      <c r="L20" s="33">
        <v>1.250429681871942</v>
      </c>
      <c r="M20" s="33">
        <v>-3.6271876603432104E-2</v>
      </c>
      <c r="N20" s="1"/>
      <c r="O20" s="4"/>
      <c r="P20" s="4"/>
      <c r="Q20" s="4"/>
      <c r="R20" s="4"/>
      <c r="S20" s="4"/>
      <c r="T20" s="4"/>
      <c r="U20" s="1"/>
      <c r="V20" s="1"/>
      <c r="W20" s="1"/>
      <c r="X20" s="1"/>
    </row>
    <row r="21" spans="1:24">
      <c r="A21" s="1"/>
      <c r="B21" s="1"/>
      <c r="C21" s="1"/>
      <c r="D21" s="1"/>
      <c r="E21" s="1"/>
      <c r="F21" s="1"/>
      <c r="G21" s="1"/>
      <c r="H21" s="1"/>
      <c r="I21" s="30">
        <v>4</v>
      </c>
      <c r="J21" s="33">
        <v>1.0222050861353968</v>
      </c>
      <c r="K21" s="33">
        <v>-0.6024806100470721</v>
      </c>
      <c r="L21" s="33">
        <v>2.6166248879587632</v>
      </c>
      <c r="M21" s="33">
        <v>-9.6452761647157319E-3</v>
      </c>
      <c r="N21" s="1"/>
      <c r="O21" s="4"/>
      <c r="P21" s="4"/>
      <c r="Q21" s="4"/>
      <c r="R21" s="4"/>
      <c r="S21" s="4"/>
      <c r="T21" s="4"/>
      <c r="U21" s="1"/>
      <c r="V21" s="1"/>
      <c r="W21" s="1"/>
      <c r="X21" s="1"/>
    </row>
    <row r="22" spans="1:24">
      <c r="A22" s="1"/>
      <c r="B22" s="1"/>
      <c r="C22" s="1"/>
      <c r="D22" s="1"/>
      <c r="E22" s="1"/>
      <c r="F22" s="1"/>
      <c r="G22" s="1"/>
      <c r="H22" s="1"/>
      <c r="I22" s="30">
        <v>5</v>
      </c>
      <c r="J22" s="33">
        <v>0.74902703812345528</v>
      </c>
      <c r="K22" s="33">
        <v>-0.22070442770577511</v>
      </c>
      <c r="L22" s="33">
        <v>-2.1336615515060395</v>
      </c>
      <c r="M22" s="33">
        <v>-6.2423084962047855E-2</v>
      </c>
      <c r="N22" s="1"/>
      <c r="O22" s="4"/>
      <c r="P22" s="4"/>
      <c r="Q22" s="4"/>
      <c r="R22" s="4"/>
      <c r="S22" s="4"/>
      <c r="T22" s="4"/>
      <c r="U22" s="1"/>
      <c r="V22" s="1"/>
      <c r="W22" s="1"/>
      <c r="X22" s="1"/>
    </row>
    <row r="23" spans="1:24" ht="13.5" thickBot="1">
      <c r="A23" s="50"/>
      <c r="B23" s="51"/>
      <c r="C23" s="40"/>
      <c r="D23" s="1"/>
      <c r="E23" s="1"/>
      <c r="F23" s="1"/>
      <c r="G23" s="1"/>
      <c r="H23" s="1"/>
      <c r="I23" s="31">
        <v>6</v>
      </c>
      <c r="J23" s="34">
        <v>0.6722609415381714</v>
      </c>
      <c r="K23" s="34">
        <v>-0.79502428648415979</v>
      </c>
      <c r="L23" s="34">
        <v>-1.2015253454279646</v>
      </c>
      <c r="M23" s="34">
        <v>-0.11336312646409009</v>
      </c>
      <c r="N23" s="1"/>
      <c r="O23" s="4"/>
      <c r="P23" s="1"/>
      <c r="Q23" s="4"/>
      <c r="R23" s="1"/>
      <c r="S23" s="1"/>
      <c r="T23" s="1"/>
      <c r="U23" s="1"/>
      <c r="V23" s="1"/>
      <c r="W23" s="1"/>
      <c r="X23" s="1"/>
    </row>
    <row r="24" spans="1:24">
      <c r="A24" s="1"/>
      <c r="B24" s="1"/>
      <c r="C24" s="4"/>
      <c r="D24" s="1"/>
      <c r="E24" s="1"/>
      <c r="F24" s="43" t="s">
        <v>28</v>
      </c>
      <c r="G24" s="43"/>
      <c r="H24" s="43"/>
      <c r="I24" s="38" t="s">
        <v>26</v>
      </c>
      <c r="J24" s="39">
        <f>SUMPRODUCT(J18:J23,$C$8:$C$13)</f>
        <v>1.0974142281346762</v>
      </c>
      <c r="K24" s="39">
        <f>SUMPRODUCT(K18:K23,$C$8:$C$13)</f>
        <v>1.6138873792315453</v>
      </c>
      <c r="L24" s="39">
        <f>SUMPRODUCT(L18:L23,$C$8:$C$13)</f>
        <v>0.92179742242841234</v>
      </c>
      <c r="M24" s="39">
        <f>SUMPRODUCT(M18:M23,$C$8:$C$13)</f>
        <v>-3.6023615965219413E-9</v>
      </c>
      <c r="N24" s="1"/>
      <c r="O24" s="4"/>
      <c r="P24" s="1"/>
      <c r="Q24" s="1"/>
      <c r="R24" s="1"/>
      <c r="S24" s="1"/>
      <c r="T24" s="1"/>
      <c r="U24" s="1"/>
      <c r="V24" s="1"/>
      <c r="W24" s="1"/>
      <c r="X24" s="1"/>
    </row>
    <row r="25" spans="1:24">
      <c r="A25" s="50"/>
      <c r="B25" s="51"/>
      <c r="C25" s="4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4"/>
      <c r="P25" s="1"/>
      <c r="Q25" s="1"/>
      <c r="R25" s="1"/>
      <c r="S25" s="1"/>
      <c r="T25" s="1"/>
      <c r="U25" s="1"/>
      <c r="V25" s="1"/>
      <c r="W25" s="1"/>
      <c r="X25" s="1"/>
    </row>
    <row r="26" spans="1:24" ht="13.5" thickBot="1">
      <c r="A26" s="1"/>
      <c r="B26" s="14" t="s">
        <v>27</v>
      </c>
      <c r="C26" s="1"/>
      <c r="D26" s="38">
        <f>(J24*J31+K24*K31+L24*L31+M24*M31)/M31</f>
        <v>-3.6023615965219413E-9</v>
      </c>
      <c r="E26" s="42"/>
      <c r="F26" s="1"/>
      <c r="G26" s="1"/>
      <c r="H26" s="1"/>
      <c r="I26" s="1"/>
      <c r="J26" s="1"/>
      <c r="K26" s="1"/>
      <c r="L26" s="1"/>
      <c r="M26" s="1"/>
      <c r="N26" s="1"/>
      <c r="O26" s="4"/>
      <c r="P26" s="1"/>
      <c r="Q26" s="1"/>
      <c r="R26" s="1"/>
      <c r="S26" s="1"/>
      <c r="T26" s="1"/>
      <c r="U26" s="1"/>
      <c r="V26" s="1"/>
      <c r="W26" s="1"/>
      <c r="X26" s="1"/>
    </row>
    <row r="27" spans="1:24">
      <c r="A27" s="1"/>
      <c r="B27" s="14"/>
      <c r="C27" s="1"/>
      <c r="D27" s="38"/>
      <c r="E27" s="42"/>
      <c r="F27" s="1"/>
      <c r="G27" s="1"/>
      <c r="H27" s="1"/>
      <c r="I27" s="37" t="s">
        <v>20</v>
      </c>
      <c r="J27" s="29" t="s">
        <v>21</v>
      </c>
      <c r="K27" s="29" t="s">
        <v>22</v>
      </c>
      <c r="L27" s="29" t="s">
        <v>23</v>
      </c>
      <c r="M27" s="29" t="s">
        <v>24</v>
      </c>
      <c r="N27" s="1"/>
      <c r="O27" s="4"/>
      <c r="P27" s="1"/>
      <c r="Q27" s="1"/>
      <c r="R27" s="1"/>
      <c r="S27" s="1"/>
      <c r="T27" s="1"/>
      <c r="U27" s="1"/>
      <c r="V27" s="1"/>
      <c r="W27" s="1"/>
      <c r="X27" s="1"/>
    </row>
    <row r="28" spans="1:24">
      <c r="A28" s="1"/>
      <c r="B28" s="14"/>
      <c r="C28" s="1"/>
      <c r="D28" s="14"/>
      <c r="E28" s="42"/>
      <c r="F28" s="1"/>
      <c r="G28" s="1"/>
      <c r="H28" s="1"/>
      <c r="I28" s="30" t="s">
        <v>21</v>
      </c>
      <c r="J28" s="5">
        <v>2.1000000000000001E-2</v>
      </c>
      <c r="K28" s="5"/>
      <c r="L28" s="5"/>
      <c r="M28" s="5"/>
      <c r="N28" s="1"/>
      <c r="O28" s="4"/>
      <c r="P28" s="4"/>
      <c r="Q28" s="4"/>
      <c r="R28" s="4"/>
      <c r="S28" s="4"/>
      <c r="T28" s="4"/>
      <c r="U28" s="1"/>
      <c r="V28" s="1"/>
      <c r="W28" s="1"/>
      <c r="X28" s="1"/>
    </row>
    <row r="29" spans="1:24">
      <c r="A29" s="1"/>
      <c r="B29" s="1"/>
      <c r="C29" s="1"/>
      <c r="D29" s="1"/>
      <c r="E29" s="1"/>
      <c r="F29" s="1"/>
      <c r="G29" s="1"/>
      <c r="H29" s="1"/>
      <c r="I29" s="30" t="s">
        <v>22</v>
      </c>
      <c r="J29" s="5"/>
      <c r="K29" s="5">
        <v>8.9999999999999998E-4</v>
      </c>
      <c r="L29" s="5"/>
      <c r="M29" s="5"/>
      <c r="N29" s="1"/>
      <c r="O29" s="4"/>
      <c r="P29" s="4"/>
      <c r="Q29" s="4"/>
      <c r="R29" s="4"/>
      <c r="S29" s="4"/>
      <c r="T29" s="4"/>
      <c r="U29" s="1"/>
      <c r="V29" s="1"/>
      <c r="W29" s="1"/>
      <c r="X29" s="1"/>
    </row>
    <row r="30" spans="1:24">
      <c r="A30" s="1"/>
      <c r="B30" s="1"/>
      <c r="C30" s="1"/>
      <c r="D30" s="1"/>
      <c r="E30" s="1"/>
      <c r="F30" s="1"/>
      <c r="G30" s="1"/>
      <c r="H30" s="1"/>
      <c r="I30" s="30" t="s">
        <v>23</v>
      </c>
      <c r="J30" s="5"/>
      <c r="K30" s="5"/>
      <c r="L30" s="5">
        <v>2.9999999999999997E-4</v>
      </c>
      <c r="M30" s="5"/>
      <c r="N30" s="1"/>
      <c r="O30" s="4"/>
      <c r="P30" s="4"/>
      <c r="Q30" s="4"/>
      <c r="R30" s="4"/>
      <c r="S30" s="4"/>
      <c r="T30" s="4"/>
      <c r="U30" s="1"/>
      <c r="V30" s="1"/>
      <c r="W30" s="1"/>
      <c r="X30" s="1"/>
    </row>
    <row r="31" spans="1:24" ht="13.5" thickBot="1">
      <c r="A31" s="1"/>
      <c r="B31" s="1"/>
      <c r="C31" s="1"/>
      <c r="D31" s="1"/>
      <c r="E31" s="1"/>
      <c r="F31" s="1"/>
      <c r="G31" s="1"/>
      <c r="H31" s="1"/>
      <c r="I31" s="31" t="s">
        <v>24</v>
      </c>
      <c r="J31" s="32"/>
      <c r="K31" s="32"/>
      <c r="L31" s="32"/>
      <c r="M31" s="32">
        <v>7.6E-3</v>
      </c>
      <c r="N31" s="1"/>
      <c r="O31" s="4"/>
      <c r="P31" s="4"/>
      <c r="Q31" s="4"/>
      <c r="R31" s="4"/>
      <c r="S31" s="4"/>
      <c r="T31" s="4"/>
      <c r="U31" s="1"/>
      <c r="V31" s="1"/>
      <c r="W31" s="1"/>
      <c r="X31" s="1"/>
    </row>
    <row r="32" spans="1:2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4"/>
      <c r="P32" s="4"/>
      <c r="Q32" s="4"/>
      <c r="R32" s="4"/>
      <c r="S32" s="4"/>
      <c r="T32" s="4"/>
      <c r="U32" s="1"/>
      <c r="V32" s="1"/>
      <c r="W32" s="1"/>
      <c r="X32" s="1"/>
    </row>
    <row r="33" spans="1:2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4"/>
      <c r="Q33" s="4"/>
      <c r="R33" s="4"/>
      <c r="S33" s="4"/>
      <c r="T33" s="4"/>
      <c r="U33" s="1"/>
      <c r="V33" s="1"/>
      <c r="W33" s="1"/>
      <c r="X33" s="1"/>
    </row>
    <row r="34" spans="1:2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4"/>
      <c r="Q34" s="4"/>
      <c r="R34" s="4"/>
      <c r="S34" s="4"/>
      <c r="T34" s="4"/>
      <c r="U34" s="1"/>
      <c r="V34" s="1"/>
      <c r="W34" s="1"/>
      <c r="X34" s="1"/>
    </row>
    <row r="35" spans="1:2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4"/>
      <c r="Q35" s="4"/>
      <c r="R35" s="4"/>
      <c r="S35" s="4"/>
      <c r="T35" s="4"/>
      <c r="U35" s="1"/>
      <c r="V35" s="1"/>
      <c r="W35" s="1"/>
      <c r="X35" s="1"/>
    </row>
    <row r="36" spans="1:2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4"/>
      <c r="Q36" s="4"/>
      <c r="R36" s="4"/>
      <c r="S36" s="4"/>
      <c r="T36" s="4"/>
      <c r="U36" s="1"/>
      <c r="V36" s="1"/>
      <c r="W36" s="1"/>
      <c r="X36" s="1"/>
    </row>
    <row r="37" spans="1:2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</sheetData>
  <mergeCells count="4">
    <mergeCell ref="M1:X1"/>
    <mergeCell ref="A23:B23"/>
    <mergeCell ref="A25:B25"/>
    <mergeCell ref="A1:L1"/>
  </mergeCells>
  <phoneticPr fontId="0" type="noConversion"/>
  <pageMargins left="0.75" right="0.75" top="1" bottom="1" header="0.5" footer="0.5"/>
  <pageSetup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Main!Print_Area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S Kaplin</dc:creator>
  <cp:lastModifiedBy>dpap</cp:lastModifiedBy>
  <cp:lastPrinted>2001-04-02T21:50:11Z</cp:lastPrinted>
  <dcterms:created xsi:type="dcterms:W3CDTF">2000-01-26T20:37:09Z</dcterms:created>
  <dcterms:modified xsi:type="dcterms:W3CDTF">2013-05-25T19:33:18Z</dcterms:modified>
</cp:coreProperties>
</file>